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Financials" sheetId="3" state="visible" r:id="rId5"/>
    <sheet name="Valuation" sheetId="4" state="visible" r:id="rId6"/>
    <sheet name="Technica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<sst xmlns="http://schemas.openxmlformats.org/spreadsheetml/2006/main" count="335" uniqueCount="247">
  <si>
    <t xml:space="preserve">EQUITY RESEARCH MODEL</t>
  </si>
  <si>
    <t xml:space="preserve">Company Name</t>
  </si>
  <si>
    <t xml:space="preserve">Ticker</t>
  </si>
  <si>
    <t xml:space="preserve">Sector</t>
  </si>
  <si>
    <t xml:space="preserve">Industry</t>
  </si>
  <si>
    <t xml:space="preserve">Analysis Date</t>
  </si>
  <si>
    <t xml:space="preserve">Analyst</t>
  </si>
  <si>
    <t xml:space="preserve">Current Price</t>
  </si>
  <si>
    <t xml:space="preserve">Price Target (Low)</t>
  </si>
  <si>
    <t xml:space="preserve">Price Target (High)</t>
  </si>
  <si>
    <t xml:space="preserve">Conviction</t>
  </si>
  <si>
    <t xml:space="preserve">Rating</t>
  </si>
  <si>
    <t xml:space="preserve">Time Horizon</t>
  </si>
  <si>
    <t xml:space="preserve">SHEETS</t>
  </si>
  <si>
    <t xml:space="preserve">Assumptions</t>
  </si>
  <si>
    <t xml:space="preserve">All model inputs — edit here first</t>
  </si>
  <si>
    <t xml:space="preserve">Financials</t>
  </si>
  <si>
    <t xml:space="preserve">2yr historical P&amp;L · Balance Sheet · Cash Flow · Ratios</t>
  </si>
  <si>
    <t xml:space="preserve">Valuation</t>
  </si>
  <si>
    <t xml:space="preserve">DCF (Bear/Base/Bull) · CAGR · Relative Comps</t>
  </si>
  <si>
    <t xml:space="preserve">Technical</t>
  </si>
  <si>
    <t xml:space="preserve">S/R levels · MAs · Price context · Momentum</t>
  </si>
  <si>
    <t xml:space="preserve">MODEL ASSUMPTIONS  ──  Yellow cells = inputs to update</t>
  </si>
  <si>
    <t xml:space="preserve">Parameter</t>
  </si>
  <si>
    <t xml:space="preserve">Value</t>
  </si>
  <si>
    <t xml:space="preserve">Unit</t>
  </si>
  <si>
    <t xml:space="preserve">Notes</t>
  </si>
  <si>
    <t xml:space="preserve">─── DCF ───</t>
  </si>
  <si>
    <t xml:space="preserve">Discount Rate (WACC)</t>
  </si>
  <si>
    <t xml:space="preserve">%</t>
  </si>
  <si>
    <t xml:space="preserve">8–12% typical for large-cap US</t>
  </si>
  <si>
    <t xml:space="preserve">Terminal Growth Rate</t>
  </si>
  <si>
    <t xml:space="preserve">Usually 2–3%</t>
  </si>
  <si>
    <t xml:space="preserve">Revenue Growth Yr 1</t>
  </si>
  <si>
    <t xml:space="preserve">From guidance or consensus</t>
  </si>
  <si>
    <t xml:space="preserve">Revenue Growth Yr 2</t>
  </si>
  <si>
    <t xml:space="preserve">Revenue Growth Yr 3</t>
  </si>
  <si>
    <t xml:space="preserve">Revenue Growth Yr 4</t>
  </si>
  <si>
    <t xml:space="preserve">Revenue Growth Yr 5</t>
  </si>
  <si>
    <t xml:space="preserve">EBIT Margin (stable)</t>
  </si>
  <si>
    <t xml:space="preserve">Use recent or avg</t>
  </si>
  <si>
    <t xml:space="preserve">Tax Rate</t>
  </si>
  <si>
    <t xml:space="preserve">US corp 21%</t>
  </si>
  <si>
    <t xml:space="preserve">D&amp;A as % of Revenue</t>
  </si>
  <si>
    <t xml:space="preserve">CapEx as % of Revenue</t>
  </si>
  <si>
    <t xml:space="preserve">Change in NWC as % Rev</t>
  </si>
  <si>
    <t xml:space="preserve">Exit EV/EBITDA Multiple</t>
  </si>
  <si>
    <t xml:space="preserve">x</t>
  </si>
  <si>
    <t xml:space="preserve">Use industry avg</t>
  </si>
  <si>
    <t xml:space="preserve">─── Relative Comps ───</t>
  </si>
  <si>
    <t xml:space="preserve">Industry Avg P/E</t>
  </si>
  <si>
    <t xml:space="preserve">Source: FactSet / Bloomberg</t>
  </si>
  <si>
    <t xml:space="preserve">Industry Avg EV/EBITDA</t>
  </si>
  <si>
    <t xml:space="preserve">Industry Avg P/S</t>
  </si>
  <si>
    <t xml:space="preserve">S&amp;P 500 Avg P/E</t>
  </si>
  <si>
    <t xml:space="preserve">Historical ~25x</t>
  </si>
  <si>
    <t xml:space="preserve">─── Entry / Exit ───</t>
  </si>
  <si>
    <t xml:space="preserve">Entry Price</t>
  </si>
  <si>
    <t xml:space="preserve">$</t>
  </si>
  <si>
    <t xml:space="preserve">Target Price (Base)</t>
  </si>
  <si>
    <t xml:space="preserve">Stop / Invalidation</t>
  </si>
  <si>
    <t xml:space="preserve">─── Technical ───</t>
  </si>
  <si>
    <t xml:space="preserve">200-Day SMA</t>
  </si>
  <si>
    <t xml:space="preserve">75-Day SMA</t>
  </si>
  <si>
    <t xml:space="preserve">50-Day SMA</t>
  </si>
  <si>
    <t xml:space="preserve">52-Week High</t>
  </si>
  <si>
    <t xml:space="preserve">52-Week Low</t>
  </si>
  <si>
    <t xml:space="preserve">INCOME STATEMENT  ($M)</t>
  </si>
  <si>
    <t xml:space="preserve">Metric</t>
  </si>
  <si>
    <t xml:space="preserve">FY-1</t>
  </si>
  <si>
    <t xml:space="preserve">FY0 (LTM)</t>
  </si>
  <si>
    <t xml:space="preserve">Q1 FY-1</t>
  </si>
  <si>
    <t xml:space="preserve">Q2 FY-1</t>
  </si>
  <si>
    <t xml:space="preserve">Q3 FY-1</t>
  </si>
  <si>
    <t xml:space="preserve">Q4 FY-1</t>
  </si>
  <si>
    <t xml:space="preserve">Q1 FY0</t>
  </si>
  <si>
    <t xml:space="preserve">Q2 FY0</t>
  </si>
  <si>
    <t xml:space="preserve">Q3 FY0</t>
  </si>
  <si>
    <t xml:space="preserve">Q4 FY0</t>
  </si>
  <si>
    <t xml:space="preserve">Revenue</t>
  </si>
  <si>
    <t xml:space="preserve">  YoY Growth %</t>
  </si>
  <si>
    <t xml:space="preserve">Cost of Revenue</t>
  </si>
  <si>
    <t xml:space="preserve">Gross Profit</t>
  </si>
  <si>
    <t xml:space="preserve">  Gross Margin %</t>
  </si>
  <si>
    <t xml:space="preserve">Operating Expenses</t>
  </si>
  <si>
    <t xml:space="preserve">EBIT / Operating Income</t>
  </si>
  <si>
    <t xml:space="preserve">  EBIT Margin %</t>
  </si>
  <si>
    <t xml:space="preserve">Interest Expense</t>
  </si>
  <si>
    <t xml:space="preserve">Pre-Tax Income</t>
  </si>
  <si>
    <t xml:space="preserve">Taxes</t>
  </si>
  <si>
    <t xml:space="preserve">Net Income</t>
  </si>
  <si>
    <t xml:space="preserve">  Net Margin %</t>
  </si>
  <si>
    <t xml:space="preserve">EPS (Diluted)</t>
  </si>
  <si>
    <t xml:space="preserve">Shares Outstanding (M)</t>
  </si>
  <si>
    <t xml:space="preserve">EBITDA</t>
  </si>
  <si>
    <t xml:space="preserve">  EBITDA Margin %</t>
  </si>
  <si>
    <t xml:space="preserve">BALANCE SHEET  ($M)</t>
  </si>
  <si>
    <t xml:space="preserve">Cash &amp; Equivalents</t>
  </si>
  <si>
    <t xml:space="preserve">Short-Term Investments</t>
  </si>
  <si>
    <t xml:space="preserve">Accounts Receivable</t>
  </si>
  <si>
    <t xml:space="preserve">Inventory</t>
  </si>
  <si>
    <t xml:space="preserve">Total Current Assets</t>
  </si>
  <si>
    <t xml:space="preserve">PP&amp;E (net)</t>
  </si>
  <si>
    <t xml:space="preserve">Intangibles &amp; Goodwill</t>
  </si>
  <si>
    <t xml:space="preserve">Total Assets</t>
  </si>
  <si>
    <t xml:space="preserve">Accounts Payable</t>
  </si>
  <si>
    <t xml:space="preserve">Short-Term Debt</t>
  </si>
  <si>
    <t xml:space="preserve">Total Current Liabilities</t>
  </si>
  <si>
    <t xml:space="preserve">Long-Term Debt</t>
  </si>
  <si>
    <t xml:space="preserve">Total Liabilities</t>
  </si>
  <si>
    <t xml:space="preserve">Total Equity</t>
  </si>
  <si>
    <t xml:space="preserve">Net Debt / (Cash)</t>
  </si>
  <si>
    <t xml:space="preserve">CASH FLOW STATEMENT  ($M)</t>
  </si>
  <si>
    <t xml:space="preserve">D&amp;A</t>
  </si>
  <si>
    <t xml:space="preserve">Stock-Based Compensation</t>
  </si>
  <si>
    <t xml:space="preserve">Changes in Working Capital</t>
  </si>
  <si>
    <t xml:space="preserve">Cash from Operations</t>
  </si>
  <si>
    <t xml:space="preserve">CapEx</t>
  </si>
  <si>
    <t xml:space="preserve">Cash from Investing</t>
  </si>
  <si>
    <t xml:space="preserve">Debt Issuance / (Repayment)</t>
  </si>
  <si>
    <t xml:space="preserve">Share Repurchases</t>
  </si>
  <si>
    <t xml:space="preserve">Cash from Financing</t>
  </si>
  <si>
    <t xml:space="preserve">Free Cash Flow (OCF - CapEx)</t>
  </si>
  <si>
    <t xml:space="preserve">  FCF Margin %</t>
  </si>
  <si>
    <t xml:space="preserve">KEY RATIOS</t>
  </si>
  <si>
    <t xml:space="preserve">P/E Ratio</t>
  </si>
  <si>
    <t xml:space="preserve">P/S Ratio</t>
  </si>
  <si>
    <t xml:space="preserve">EV/EBITDA</t>
  </si>
  <si>
    <t xml:space="preserve">P/FCF</t>
  </si>
  <si>
    <t xml:space="preserve">PEG Ratio</t>
  </si>
  <si>
    <t xml:space="preserve">ROE %</t>
  </si>
  <si>
    <t xml:space="preserve">ROIC %</t>
  </si>
  <si>
    <t xml:space="preserve">Current Ratio</t>
  </si>
  <si>
    <t xml:space="preserve">Debt/Equity</t>
  </si>
  <si>
    <t xml:space="preserve">CAGR ANALYSIS</t>
  </si>
  <si>
    <t xml:space="preserve">Base Year Value</t>
  </si>
  <si>
    <t xml:space="preserve">End Year Value</t>
  </si>
  <si>
    <t xml:space="preserve"># Years</t>
  </si>
  <si>
    <t xml:space="preserve">CAGR</t>
  </si>
  <si>
    <t xml:space="preserve">Revenue ($M)</t>
  </si>
  <si>
    <t xml:space="preserve">Free Cash Flow ($M)</t>
  </si>
  <si>
    <t xml:space="preserve">EBITDA ($M)</t>
  </si>
  <si>
    <t xml:space="preserve">Stock Price</t>
  </si>
  <si>
    <t xml:space="preserve">DCF — 5-YEAR PROJECTION</t>
  </si>
  <si>
    <t xml:space="preserve">Line Item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</si>
  <si>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</si>
  <si>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</si>
  <si>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</si>
  <si>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</si>
  <si>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</si>
  <si>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Terminal</t>
  </si>
  <si>
    <t xml:space="preserve">Source</t>
  </si>
  <si>
    <t xml:space="preserve">  Growth %</t>
  </si>
  <si>
    <t xml:space="preserve">EBIT ($M)</t>
  </si>
  <si>
    <t xml:space="preserve">NOPAT</t>
  </si>
  <si>
    <t xml:space="preserve">Δ NWC</t>
  </si>
  <si>
    <t xml:space="preserve">UFCF ($M)</t>
  </si>
  <si>
    <t xml:space="preserve">Discount Factor</t>
  </si>
  <si>
    <t xml:space="preserve">PV of UFCF</t>
  </si>
  <si>
    <t xml:space="preserve">DCF BRIDGE — IMPLIED VALUE</t>
  </si>
  <si>
    <t xml:space="preserve">Item</t>
  </si>
  <si>
    <t xml:space="preserve">Bear</t>
  </si>
  <si>
    <t xml:space="preserve">Base</t>
  </si>
  <si>
    <t xml:space="preserve">Bull</t>
  </si>
  <si>
    <t xml:space="preserve">PV of FCFs</t>
  </si>
  <si>
    <t xml:space="preserve">Terminal Value (PV)</t>
  </si>
  <si>
    <t xml:space="preserve">Enterprise Value</t>
  </si>
  <si>
    <t xml:space="preserve">(+) Cash</t>
  </si>
  <si>
    <t xml:space="preserve">(-) Debt</t>
  </si>
  <si>
    <t xml:space="preserve">Equity Value ($M)</t>
  </si>
  <si>
    <t xml:space="preserve">Implied Share Price</t>
  </si>
  <si>
    <t xml:space="preserve">Upside / (Downside)</t>
  </si>
  <si>
    <t xml:space="preserve">RELATIVE VALUATION COMPS</t>
  </si>
  <si>
    <t xml:space="preserve">Company</t>
  </si>
  <si>
    <t xml:space="preserve">P/E</t>
  </si>
  <si>
    <t xml:space="preserve">P/S</t>
  </si>
  <si>
    <t xml:space="preserve">PEG</t>
  </si>
  <si>
    <t xml:space="preserve">Mkt Cap ($B)</t>
  </si>
  <si>
    <t xml:space="preserve">★ THIS COMPANY</t>
  </si>
  <si>
    <t xml:space="preserve">Peer 1</t>
  </si>
  <si>
    <t xml:space="preserve">Peer 2</t>
  </si>
  <si>
    <t xml:space="preserve">Peer 3</t>
  </si>
  <si>
    <t xml:space="preserve">Peer 4</t>
  </si>
  <si>
    <t xml:space="preserve">Peer 5</t>
  </si>
  <si>
    <t xml:space="preserve">Peer 6</t>
  </si>
  <si>
    <t xml:space="preserve">Industry Average</t>
  </si>
  <si>
    <t xml:space="preserve">AUTO</t>
  </si>
  <si>
    <t xml:space="preserve">Premium / (Discount) to Avg</t>
  </si>
  <si>
    <t xml:space="preserve">MOVING AVERAGES</t>
  </si>
  <si>
    <t xml:space="preserve">MA</t>
  </si>
  <si>
    <t xml:space="preserve">Level</t>
  </si>
  <si>
    <t xml:space="preserve">vs. Price</t>
  </si>
  <si>
    <t xml:space="preserve">Trend</t>
  </si>
  <si>
    <t xml:space="preserve">20-Day EMA</t>
  </si>
  <si>
    <t xml:space="preserve">VWAP (if applicable)</t>
  </si>
  <si>
    <t xml:space="preserve">RESISTANCE LEVELS</t>
  </si>
  <si>
    <t xml:space="preserve">Zone</t>
  </si>
  <si>
    <t xml:space="preserve">Price</t>
  </si>
  <si>
    <t xml:space="preserve">Basis</t>
  </si>
  <si>
    <t xml:space="preserve">Strength</t>
  </si>
  <si>
    <t xml:space="preserve">R1</t>
  </si>
  <si>
    <t xml:space="preserve">R2</t>
  </si>
  <si>
    <t xml:space="preserve">R3</t>
  </si>
  <si>
    <t xml:space="preserve">SUPPORT LEVELS</t>
  </si>
  <si>
    <t xml:space="preserve">S1</t>
  </si>
  <si>
    <t xml:space="preserve">S2</t>
  </si>
  <si>
    <t xml:space="preserve">S3</t>
  </si>
  <si>
    <t xml:space="preserve">PRICE CONTEXT</t>
  </si>
  <si>
    <t xml:space="preserve">Stat</t>
  </si>
  <si>
    <t xml:space="preserve">Calculated</t>
  </si>
  <si>
    <t xml:space="preserve">ATH</t>
  </si>
  <si>
    <t xml:space="preserve">Drawdown from 52W High</t>
  </si>
  <si>
    <t xml:space="preserve">% Above 52W Low</t>
  </si>
  <si>
    <t xml:space="preserve">Drawdown from ATH</t>
  </si>
  <si>
    <t xml:space="preserve">Avg Volume (30D)</t>
  </si>
  <si>
    <t xml:space="preserve">Relative Volume</t>
  </si>
  <si>
    <t xml:space="preserve">MOMENTUM INDICATORS</t>
  </si>
  <si>
    <t xml:space="preserve">Indicator</t>
  </si>
  <si>
    <t xml:space="preserve">Reading</t>
  </si>
  <si>
    <t xml:space="preserve">Signal</t>
  </si>
  <si>
    <t xml:space="preserve">Period</t>
  </si>
  <si>
    <t xml:space="preserve">RSI</t>
  </si>
  <si>
    <t xml:space="preserve">14</t>
  </si>
  <si>
    <t xml:space="preserve">MACD</t>
  </si>
  <si>
    <t xml:space="preserve">12/26/9</t>
  </si>
  <si>
    <t xml:space="preserve">ATR</t>
  </si>
  <si>
    <t xml:space="preserve">Stochastic %K</t>
  </si>
  <si>
    <t xml:space="preserve">Bollinger Band Width</t>
  </si>
  <si>
    <t xml:space="preserve">20</t>
  </si>
  <si>
    <t xml:space="preserve">REVERSAL SIGNAL CHECKLIST</t>
  </si>
  <si>
    <t xml:space="preserve">Higher low vs. prior swing</t>
  </si>
  <si>
    <t xml:space="preserve">Reclaim of 200-day SMA</t>
  </si>
  <si>
    <t xml:space="preserve">Reclaim of 75-day SMA</t>
  </si>
  <si>
    <t xml:space="preserve">Bounce off key support with volume</t>
  </si>
  <si>
    <t xml:space="preserve">RSI bullish divergence</t>
  </si>
  <si>
    <t xml:space="preserve">MACD bullish cross</t>
  </si>
  <si>
    <t xml:space="preserve">Volume dry-up on pullback</t>
  </si>
  <si>
    <t xml:space="preserve">Volume expansion on up days</t>
  </si>
  <si>
    <t xml:space="preserve">Compression / squeeze (low ATR)</t>
  </si>
  <si>
    <t xml:space="preserve">Earnings flush + recovery</t>
  </si>
  <si>
    <t xml:space="preserve">TECHNICAL SUMMARY</t>
  </si>
  <si>
    <t xml:space="preserve">Current Structure / Phase</t>
  </si>
  <si>
    <t xml:space="preserve">Entry Zone</t>
  </si>
  <si>
    <t xml:space="preserve">Invalidation Level</t>
  </si>
  <si>
    <t xml:space="preserve">Target R1</t>
  </si>
  <si>
    <t xml:space="preserve">Target R2</t>
  </si>
  <si>
    <t xml:space="preserve">Chart Pattern (if any)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</si>
</sst>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;\(0.0%\);\-"/>
    <numFmt numFmtId="166" formatCode="0.0\x"/>
    <numFmt numFmtId="167" formatCode="\$#,##0;&quot;($&quot;#,##0\);\-"/>
    <numFmt numFmtId="168" formatCode="#,##0;\(#,##0\);\-"/>
    <numFmt numFmtId="169" formatCode="0.00;\(0.00\);\-"/>
    <numFmt numFmtId="170" formatCode="0"/>
    <numFmt numFmtId="171" formatCode="@"/>
    <numFmt numFmtId="172" formatCode="\$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74E6E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374E6E"/>
      </patternFill>
    </fill>
    <fill>
      <patternFill patternType="solid">
        <fgColor rgb="FF374E6E"/>
        <bgColor rgb="FF2F549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064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374E6E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8" min="3" style="0" width="14"/>
  </cols>
  <sheetData>
    <row r="1" customFormat="false" ht="4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/>
    </row>
    <row r="4" customFormat="false" ht="15" hidden="false" customHeight="false" outlineLevel="0" collapsed="false">
      <c r="A4" s="2" t="s">
        <v>2</v>
      </c>
      <c r="B4" s="3"/>
    </row>
    <row r="5" customFormat="false" ht="15" hidden="false" customHeight="false" outlineLevel="0" collapsed="false">
      <c r="A5" s="2" t="s">
        <v>3</v>
      </c>
      <c r="B5" s="3"/>
    </row>
    <row r="6" customFormat="false" ht="15" hidden="false" customHeight="false" outlineLevel="0" collapsed="false">
      <c r="A6" s="2" t="s">
        <v>4</v>
      </c>
      <c r="B6" s="3"/>
    </row>
    <row r="7" customFormat="false" ht="15" hidden="false" customHeight="false" outlineLevel="0" collapsed="false">
      <c r="A7" s="2" t="s">
        <v>5</v>
      </c>
      <c r="B7" s="3"/>
    </row>
    <row r="8" customFormat="false" ht="15" hidden="false" customHeight="false" outlineLevel="0" collapsed="false">
      <c r="A8" s="2" t="s">
        <v>6</v>
      </c>
      <c r="B8" s="3"/>
    </row>
    <row r="9" customFormat="false" ht="15" hidden="false" customHeight="false" outlineLevel="0" collapsed="false">
      <c r="A9" s="2" t="s">
        <v>7</v>
      </c>
      <c r="B9" s="3"/>
    </row>
    <row r="10" customFormat="false" ht="15" hidden="false" customHeight="false" outlineLevel="0" collapsed="false">
      <c r="A10" s="2" t="s">
        <v>8</v>
      </c>
      <c r="B10" s="3"/>
    </row>
    <row r="11" customFormat="false" ht="15" hidden="false" customHeight="false" outlineLevel="0" collapsed="false">
      <c r="A11" s="2" t="s">
        <v>9</v>
      </c>
      <c r="B11" s="3"/>
    </row>
    <row r="12" customFormat="false" ht="15" hidden="false" customHeight="false" outlineLevel="0" collapsed="false">
      <c r="A12" s="2" t="s">
        <v>10</v>
      </c>
      <c r="B12" s="3"/>
    </row>
    <row r="13" customFormat="false" ht="15" hidden="false" customHeight="false" outlineLevel="0" collapsed="false">
      <c r="A13" s="2" t="s">
        <v>11</v>
      </c>
      <c r="B13" s="3"/>
    </row>
    <row r="14" customFormat="false" ht="15" hidden="false" customHeight="false" outlineLevel="0" collapsed="false">
      <c r="A14" s="2" t="s">
        <v>12</v>
      </c>
      <c r="B14" s="3"/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  <c r="B17" s="5" t="s">
        <v>15</v>
      </c>
    </row>
    <row r="18" customFormat="false" ht="15" hidden="false" customHeight="false" outlineLevel="0" collapsed="false">
      <c r="A18" s="4" t="s">
        <v>16</v>
      </c>
      <c r="B18" s="5" t="s">
        <v>17</v>
      </c>
    </row>
    <row r="19" customFormat="false" ht="15" hidden="false" customHeight="false" outlineLevel="0" collapsed="false">
      <c r="A19" s="4" t="s">
        <v>18</v>
      </c>
      <c r="B19" s="5" t="s">
        <v>19</v>
      </c>
    </row>
    <row r="20" customFormat="false" ht="15" hidden="false" customHeight="false" outlineLevel="0" collapsed="false">
      <c r="A20" s="4" t="s">
        <v>20</v>
      </c>
      <c r="B20" s="5" t="s">
        <v>21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22</v>
      </c>
      <c r="B1" s="6"/>
      <c r="C1" s="6"/>
      <c r="D1" s="6"/>
    </row>
    <row r="2" customFormat="false" ht="18" hidden="false" customHeight="true" outlineLevel="0" collapsed="false">
      <c r="A2" s="7" t="s">
        <v>23</v>
      </c>
      <c r="B2" s="7" t="s">
        <v>24</v>
      </c>
      <c r="C2" s="7" t="s">
        <v>25</v>
      </c>
      <c r="D2" s="7" t="s">
        <v>26</v>
      </c>
    </row>
    <row r="3" customFormat="false" ht="15" hidden="false" customHeight="false" outlineLevel="0" collapsed="false">
      <c r="A3" s="8" t="s">
        <v>27</v>
      </c>
      <c r="B3" s="8"/>
      <c r="C3" s="8"/>
      <c r="D3" s="8"/>
    </row>
    <row r="4" customFormat="false" ht="15" hidden="false" customHeight="false" outlineLevel="0" collapsed="false">
      <c r="A4" s="9" t="s">
        <v>28</v>
      </c>
      <c r="B4" s="10" t="n">
        <v>0.1</v>
      </c>
      <c r="C4" s="9" t="s">
        <v>29</v>
      </c>
      <c r="D4" s="9" t="s">
        <v>30</v>
      </c>
    </row>
    <row r="5" customFormat="false" ht="15" hidden="false" customHeight="false" outlineLevel="0" collapsed="false">
      <c r="A5" s="9" t="s">
        <v>31</v>
      </c>
      <c r="B5" s="10" t="n">
        <v>0.025</v>
      </c>
      <c r="C5" s="9" t="s">
        <v>29</v>
      </c>
      <c r="D5" s="9" t="s">
        <v>32</v>
      </c>
    </row>
    <row r="6" customFormat="false" ht="15" hidden="false" customHeight="false" outlineLevel="0" collapsed="false">
      <c r="A6" s="9" t="s">
        <v>33</v>
      </c>
      <c r="B6" s="10"/>
      <c r="C6" s="9" t="s">
        <v>29</v>
      </c>
      <c r="D6" s="9" t="s">
        <v>34</v>
      </c>
    </row>
    <row r="7" customFormat="false" ht="15" hidden="false" customHeight="false" outlineLevel="0" collapsed="false">
      <c r="A7" s="9" t="s">
        <v>35</v>
      </c>
      <c r="B7" s="10"/>
      <c r="C7" s="9" t="s">
        <v>29</v>
      </c>
      <c r="D7" s="9"/>
    </row>
    <row r="8" customFormat="false" ht="15" hidden="false" customHeight="false" outlineLevel="0" collapsed="false">
      <c r="A8" s="9" t="s">
        <v>36</v>
      </c>
      <c r="B8" s="10"/>
      <c r="C8" s="9" t="s">
        <v>29</v>
      </c>
      <c r="D8" s="9"/>
    </row>
    <row r="9" customFormat="false" ht="15" hidden="false" customHeight="false" outlineLevel="0" collapsed="false">
      <c r="A9" s="9" t="s">
        <v>37</v>
      </c>
      <c r="B9" s="10"/>
      <c r="C9" s="9" t="s">
        <v>29</v>
      </c>
      <c r="D9" s="9"/>
    </row>
    <row r="10" customFormat="false" ht="15" hidden="false" customHeight="false" outlineLevel="0" collapsed="false">
      <c r="A10" s="9" t="s">
        <v>38</v>
      </c>
      <c r="B10" s="10"/>
      <c r="C10" s="9" t="s">
        <v>29</v>
      </c>
      <c r="D10" s="9"/>
    </row>
    <row r="11" customFormat="false" ht="15" hidden="false" customHeight="false" outlineLevel="0" collapsed="false">
      <c r="A11" s="9" t="s">
        <v>39</v>
      </c>
      <c r="B11" s="10"/>
      <c r="C11" s="9" t="s">
        <v>29</v>
      </c>
      <c r="D11" s="9" t="s">
        <v>40</v>
      </c>
    </row>
    <row r="12" customFormat="false" ht="15" hidden="false" customHeight="false" outlineLevel="0" collapsed="false">
      <c r="A12" s="9" t="s">
        <v>41</v>
      </c>
      <c r="B12" s="10" t="n">
        <v>0.21</v>
      </c>
      <c r="C12" s="9" t="s">
        <v>29</v>
      </c>
      <c r="D12" s="9" t="s">
        <v>42</v>
      </c>
    </row>
    <row r="13" customFormat="false" ht="15" hidden="false" customHeight="false" outlineLevel="0" collapsed="false">
      <c r="A13" s="9" t="s">
        <v>43</v>
      </c>
      <c r="B13" s="10"/>
      <c r="C13" s="9" t="s">
        <v>29</v>
      </c>
      <c r="D13" s="9"/>
    </row>
    <row r="14" customFormat="false" ht="15" hidden="false" customHeight="false" outlineLevel="0" collapsed="false">
      <c r="A14" s="9" t="s">
        <v>44</v>
      </c>
      <c r="B14" s="10"/>
      <c r="C14" s="9" t="s">
        <v>29</v>
      </c>
      <c r="D14" s="9"/>
    </row>
    <row r="15" customFormat="false" ht="15" hidden="false" customHeight="false" outlineLevel="0" collapsed="false">
      <c r="A15" s="9" t="s">
        <v>45</v>
      </c>
      <c r="B15" s="10"/>
      <c r="C15" s="9" t="s">
        <v>29</v>
      </c>
      <c r="D15" s="9"/>
    </row>
    <row r="16" customFormat="false" ht="15" hidden="false" customHeight="false" outlineLevel="0" collapsed="false">
      <c r="A16" s="9" t="s">
        <v>46</v>
      </c>
      <c r="B16" s="11"/>
      <c r="C16" s="9" t="s">
        <v>47</v>
      </c>
      <c r="D16" s="9" t="s">
        <v>48</v>
      </c>
    </row>
    <row r="17" customFormat="false" ht="15" hidden="false" customHeight="false" outlineLevel="0" collapsed="false">
      <c r="A17" s="8" t="s">
        <v>49</v>
      </c>
      <c r="B17" s="8"/>
      <c r="C17" s="8"/>
      <c r="D17" s="8"/>
    </row>
    <row r="18" customFormat="false" ht="15" hidden="false" customHeight="false" outlineLevel="0" collapsed="false">
      <c r="A18" s="9" t="s">
        <v>50</v>
      </c>
      <c r="B18" s="11"/>
      <c r="C18" s="9" t="s">
        <v>47</v>
      </c>
      <c r="D18" s="9" t="s">
        <v>51</v>
      </c>
    </row>
    <row r="19" customFormat="false" ht="15" hidden="false" customHeight="false" outlineLevel="0" collapsed="false">
      <c r="A19" s="9" t="s">
        <v>52</v>
      </c>
      <c r="B19" s="11"/>
      <c r="C19" s="9" t="s">
        <v>47</v>
      </c>
      <c r="D19" s="9"/>
    </row>
    <row r="20" customFormat="false" ht="15" hidden="false" customHeight="false" outlineLevel="0" collapsed="false">
      <c r="A20" s="9" t="s">
        <v>53</v>
      </c>
      <c r="B20" s="11"/>
      <c r="C20" s="9" t="s">
        <v>47</v>
      </c>
      <c r="D20" s="9"/>
    </row>
    <row r="21" customFormat="false" ht="15" hidden="false" customHeight="false" outlineLevel="0" collapsed="false">
      <c r="A21" s="9" t="s">
        <v>54</v>
      </c>
      <c r="B21" s="11" t="n">
        <v>25</v>
      </c>
      <c r="C21" s="9" t="s">
        <v>47</v>
      </c>
      <c r="D21" s="9" t="s">
        <v>55</v>
      </c>
    </row>
    <row r="22" customFormat="false" ht="15" hidden="false" customHeight="false" outlineLevel="0" collapsed="false">
      <c r="A22" s="8" t="s">
        <v>56</v>
      </c>
      <c r="B22" s="8"/>
      <c r="C22" s="8"/>
      <c r="D22" s="8"/>
    </row>
    <row r="23" customFormat="false" ht="15" hidden="false" customHeight="false" outlineLevel="0" collapsed="false">
      <c r="A23" s="9" t="s">
        <v>57</v>
      </c>
      <c r="B23" s="12"/>
      <c r="C23" s="9" t="s">
        <v>58</v>
      </c>
      <c r="D23" s="9"/>
    </row>
    <row r="24" customFormat="false" ht="15" hidden="false" customHeight="false" outlineLevel="0" collapsed="false">
      <c r="A24" s="9" t="s">
        <v>59</v>
      </c>
      <c r="B24" s="12"/>
      <c r="C24" s="9" t="s">
        <v>58</v>
      </c>
      <c r="D24" s="9"/>
    </row>
    <row r="25" customFormat="false" ht="15" hidden="false" customHeight="false" outlineLevel="0" collapsed="false">
      <c r="A25" s="9" t="s">
        <v>60</v>
      </c>
      <c r="B25" s="12"/>
      <c r="C25" s="9" t="s">
        <v>58</v>
      </c>
      <c r="D25" s="9"/>
    </row>
    <row r="26" customFormat="false" ht="15" hidden="false" customHeight="false" outlineLevel="0" collapsed="false">
      <c r="A26" s="8" t="s">
        <v>61</v>
      </c>
      <c r="B26" s="8"/>
      <c r="C26" s="8"/>
      <c r="D26" s="8"/>
    </row>
    <row r="27" customFormat="false" ht="15" hidden="false" customHeight="false" outlineLevel="0" collapsed="false">
      <c r="A27" s="9" t="s">
        <v>62</v>
      </c>
      <c r="B27" s="12"/>
      <c r="C27" s="9" t="s">
        <v>58</v>
      </c>
      <c r="D27" s="9"/>
    </row>
    <row r="28" customFormat="false" ht="15" hidden="false" customHeight="false" outlineLevel="0" collapsed="false">
      <c r="A28" s="9" t="s">
        <v>63</v>
      </c>
      <c r="B28" s="12"/>
      <c r="C28" s="9" t="s">
        <v>58</v>
      </c>
      <c r="D28" s="9"/>
    </row>
    <row r="29" customFormat="false" ht="15" hidden="false" customHeight="false" outlineLevel="0" collapsed="false">
      <c r="A29" s="9" t="s">
        <v>64</v>
      </c>
      <c r="B29" s="12"/>
      <c r="C29" s="9" t="s">
        <v>58</v>
      </c>
      <c r="D29" s="9"/>
    </row>
    <row r="30" customFormat="false" ht="15" hidden="false" customHeight="false" outlineLevel="0" collapsed="false">
      <c r="A30" s="9" t="s">
        <v>65</v>
      </c>
      <c r="B30" s="12"/>
      <c r="C30" s="9" t="s">
        <v>58</v>
      </c>
      <c r="D30" s="9"/>
    </row>
    <row r="31" customFormat="false" ht="15" hidden="false" customHeight="false" outlineLevel="0" collapsed="false">
      <c r="A31" s="9" t="s">
        <v>66</v>
      </c>
      <c r="B31" s="12"/>
      <c r="C31" s="9" t="s">
        <v>58</v>
      </c>
      <c r="D31" s="9"/>
    </row>
  </sheetData>
  <mergeCells count="5">
    <mergeCell ref="A1:D1"/>
    <mergeCell ref="A3:D3"/>
    <mergeCell ref="A17:D17"/>
    <mergeCell ref="A22:D22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3"/>
  </cols>
  <sheetData>
    <row r="1" customFormat="false" ht="15" hidden="false" customHeight="false" outlineLevel="0" collapsed="false">
      <c r="A1" s="6" t="s">
        <v>67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8" hidden="false" customHeight="true" outlineLevel="0" collapsed="false">
      <c r="A2" s="7" t="s">
        <v>68</v>
      </c>
      <c r="B2" s="7" t="s">
        <v>69</v>
      </c>
      <c r="C2" s="7" t="s">
        <v>70</v>
      </c>
      <c r="D2" s="7" t="s">
        <v>71</v>
      </c>
      <c r="E2" s="7" t="s">
        <v>72</v>
      </c>
      <c r="F2" s="7" t="s">
        <v>73</v>
      </c>
      <c r="G2" s="7" t="s">
        <v>74</v>
      </c>
      <c r="H2" s="7" t="s">
        <v>75</v>
      </c>
      <c r="I2" s="7" t="s">
        <v>76</v>
      </c>
      <c r="J2" s="7" t="s">
        <v>77</v>
      </c>
      <c r="K2" s="7" t="s">
        <v>78</v>
      </c>
    </row>
    <row r="3" customFormat="false" ht="15" hidden="false" customHeight="false" outlineLevel="0" collapsed="false">
      <c r="A3" s="2" t="s">
        <v>79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customFormat="false" ht="15" hidden="false" customHeight="false" outlineLevel="0" collapsed="false">
      <c r="A4" s="9" t="s">
        <v>80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customFormat="false" ht="15" hidden="false" customHeight="false" outlineLevel="0" collapsed="false">
      <c r="A5" s="9" t="s">
        <v>81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customFormat="false" ht="15" hidden="false" customHeight="false" outlineLevel="0" collapsed="false">
      <c r="A6" s="2" t="s">
        <v>82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customFormat="false" ht="15" hidden="false" customHeight="false" outlineLevel="0" collapsed="false">
      <c r="A7" s="9" t="s">
        <v>83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customFormat="false" ht="15" hidden="false" customHeight="false" outlineLevel="0" collapsed="false">
      <c r="A8" s="9" t="s">
        <v>84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customFormat="false" ht="15" hidden="false" customHeight="false" outlineLevel="0" collapsed="false">
      <c r="A9" s="2" t="s">
        <v>85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customFormat="false" ht="15" hidden="false" customHeight="false" outlineLevel="0" collapsed="false">
      <c r="A10" s="9" t="s">
        <v>86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9" t="s">
        <v>87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customFormat="false" ht="15" hidden="false" customHeight="false" outlineLevel="0" collapsed="false">
      <c r="A12" s="9" t="s">
        <v>88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customFormat="false" ht="15" hidden="false" customHeight="false" outlineLevel="0" collapsed="false">
      <c r="A13" s="9" t="s">
        <v>89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customFormat="false" ht="15" hidden="false" customHeight="false" outlineLevel="0" collapsed="false">
      <c r="A14" s="2" t="s">
        <v>90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customFormat="false" ht="15" hidden="false" customHeight="false" outlineLevel="0" collapsed="false">
      <c r="A15" s="9" t="s">
        <v>91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customFormat="false" ht="15" hidden="false" customHeight="false" outlineLevel="0" collapsed="false">
      <c r="A16" s="9" t="s">
        <v>92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customFormat="false" ht="15" hidden="false" customHeight="false" outlineLevel="0" collapsed="false">
      <c r="A17" s="9" t="s">
        <v>93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customFormat="false" ht="15" hidden="false" customHeight="false" outlineLevel="0" collapsed="false">
      <c r="A18" s="2" t="s">
        <v>94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customFormat="false" ht="15" hidden="false" customHeight="false" outlineLevel="0" collapsed="false">
      <c r="A19" s="9" t="s">
        <v>95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1" customFormat="false" ht="15" hidden="false" customHeight="false" outlineLevel="0" collapsed="false">
      <c r="A21" s="6" t="s">
        <v>96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8" hidden="false" customHeight="true" outlineLevel="0" collapsed="false">
      <c r="A22" s="7" t="s">
        <v>68</v>
      </c>
      <c r="B22" s="7" t="s">
        <v>69</v>
      </c>
      <c r="C22" s="7" t="s">
        <v>70</v>
      </c>
      <c r="D22" s="7" t="s">
        <v>71</v>
      </c>
      <c r="E22" s="7" t="s">
        <v>72</v>
      </c>
      <c r="F22" s="7" t="s">
        <v>73</v>
      </c>
      <c r="G22" s="7" t="s">
        <v>74</v>
      </c>
      <c r="H22" s="7" t="s">
        <v>75</v>
      </c>
      <c r="I22" s="7" t="s">
        <v>76</v>
      </c>
      <c r="J22" s="7" t="s">
        <v>77</v>
      </c>
      <c r="K22" s="7" t="s">
        <v>78</v>
      </c>
    </row>
    <row r="23" customFormat="false" ht="15" hidden="false" customHeight="false" outlineLevel="0" collapsed="false">
      <c r="A23" s="9" t="s">
        <v>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customFormat="false" ht="15" hidden="false" customHeight="false" outlineLevel="0" collapsed="false">
      <c r="A24" s="9" t="s">
        <v>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customFormat="false" ht="15" hidden="false" customHeight="false" outlineLevel="0" collapsed="false">
      <c r="A25" s="9" t="s">
        <v>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26" customFormat="false" ht="15" hidden="false" customHeight="false" outlineLevel="0" collapsed="false">
      <c r="A26" s="9" t="s">
        <v>100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customFormat="false" ht="15" hidden="false" customHeight="false" outlineLevel="0" collapsed="false">
      <c r="A27" s="2" t="s">
        <v>101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</row>
    <row r="28" customFormat="false" ht="15" hidden="false" customHeight="false" outlineLevel="0" collapsed="false">
      <c r="A28" s="9" t="s">
        <v>102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customFormat="false" ht="15" hidden="false" customHeight="false" outlineLevel="0" collapsed="false">
      <c r="A29" s="9" t="s">
        <v>103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customFormat="false" ht="15" hidden="false" customHeight="false" outlineLevel="0" collapsed="false">
      <c r="A30" s="2" t="s">
        <v>104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customFormat="false" ht="15" hidden="false" customHeight="false" outlineLevel="0" collapsed="false">
      <c r="A31" s="9" t="s">
        <v>105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customFormat="false" ht="15" hidden="false" customHeight="false" outlineLevel="0" collapsed="false">
      <c r="A32" s="9" t="s">
        <v>106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customFormat="false" ht="15" hidden="false" customHeight="false" outlineLevel="0" collapsed="false">
      <c r="A33" s="2" t="s">
        <v>107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customFormat="false" ht="15" hidden="false" customHeight="false" outlineLevel="0" collapsed="false">
      <c r="A34" s="9" t="s">
        <v>108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customFormat="false" ht="15" hidden="false" customHeight="false" outlineLevel="0" collapsed="false">
      <c r="A35" s="2" t="s">
        <v>109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customFormat="false" ht="15" hidden="false" customHeight="false" outlineLevel="0" collapsed="false">
      <c r="A36" s="2" t="s">
        <v>110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customFormat="false" ht="15" hidden="false" customHeight="false" outlineLevel="0" collapsed="false">
      <c r="A37" s="2" t="s">
        <v>111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9" customFormat="false" ht="15" hidden="false" customHeight="false" outlineLevel="0" collapsed="false">
      <c r="A39" s="6" t="s">
        <v>112</v>
      </c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8" hidden="false" customHeight="true" outlineLevel="0" collapsed="false">
      <c r="A40" s="7" t="s">
        <v>68</v>
      </c>
      <c r="B40" s="7" t="s">
        <v>69</v>
      </c>
      <c r="C40" s="7" t="s">
        <v>70</v>
      </c>
      <c r="D40" s="7" t="s">
        <v>71</v>
      </c>
      <c r="E40" s="7" t="s">
        <v>72</v>
      </c>
      <c r="F40" s="7" t="s">
        <v>73</v>
      </c>
      <c r="G40" s="7" t="s">
        <v>74</v>
      </c>
      <c r="H40" s="7" t="s">
        <v>75</v>
      </c>
      <c r="I40" s="7" t="s">
        <v>76</v>
      </c>
      <c r="J40" s="7" t="s">
        <v>77</v>
      </c>
      <c r="K40" s="7" t="s">
        <v>78</v>
      </c>
    </row>
    <row r="41" customFormat="false" ht="15" hidden="false" customHeight="false" outlineLevel="0" collapsed="false">
      <c r="A41" s="9" t="s">
        <v>90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customFormat="false" ht="15" hidden="false" customHeight="false" outlineLevel="0" collapsed="false">
      <c r="A42" s="9" t="s">
        <v>113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customFormat="false" ht="15" hidden="false" customHeight="false" outlineLevel="0" collapsed="false">
      <c r="A43" s="9" t="s">
        <v>114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customFormat="false" ht="15" hidden="false" customHeight="false" outlineLevel="0" collapsed="false">
      <c r="A44" s="9" t="s">
        <v>115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customFormat="false" ht="15" hidden="false" customHeight="false" outlineLevel="0" collapsed="false">
      <c r="A45" s="2" t="s">
        <v>116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customFormat="false" ht="15" hidden="false" customHeight="false" outlineLevel="0" collapsed="false">
      <c r="A46" s="9" t="s">
        <v>117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customFormat="false" ht="15" hidden="false" customHeight="false" outlineLevel="0" collapsed="false">
      <c r="A47" s="2" t="s">
        <v>118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customFormat="false" ht="15" hidden="false" customHeight="false" outlineLevel="0" collapsed="false">
      <c r="A48" s="9" t="s">
        <v>119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customFormat="false" ht="15" hidden="false" customHeight="false" outlineLevel="0" collapsed="false">
      <c r="A49" s="9" t="s">
        <v>120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customFormat="false" ht="15" hidden="false" customHeight="false" outlineLevel="0" collapsed="false">
      <c r="A50" s="2" t="s">
        <v>121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customFormat="false" ht="15" hidden="false" customHeight="false" outlineLevel="0" collapsed="false">
      <c r="A51" s="2" t="s">
        <v>122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customFormat="false" ht="15" hidden="false" customHeight="false" outlineLevel="0" collapsed="false">
      <c r="A52" s="9" t="s">
        <v>123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4" customFormat="false" ht="15" hidden="false" customHeight="false" outlineLevel="0" collapsed="false">
      <c r="A54" s="6" t="s">
        <v>124</v>
      </c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18" hidden="false" customHeight="true" outlineLevel="0" collapsed="false">
      <c r="A55" s="7" t="s">
        <v>68</v>
      </c>
      <c r="B55" s="7" t="s">
        <v>69</v>
      </c>
      <c r="C55" s="7" t="s">
        <v>70</v>
      </c>
      <c r="D55" s="7" t="s">
        <v>71</v>
      </c>
      <c r="E55" s="7" t="s">
        <v>72</v>
      </c>
      <c r="F55" s="7" t="s">
        <v>73</v>
      </c>
      <c r="G55" s="7" t="s">
        <v>74</v>
      </c>
      <c r="H55" s="7" t="s">
        <v>75</v>
      </c>
      <c r="I55" s="7" t="s">
        <v>76</v>
      </c>
      <c r="J55" s="7" t="s">
        <v>77</v>
      </c>
      <c r="K55" s="7" t="s">
        <v>78</v>
      </c>
    </row>
    <row r="56" customFormat="false" ht="15" hidden="false" customHeight="false" outlineLevel="0" collapsed="false">
      <c r="A56" s="9" t="s">
        <v>125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</row>
    <row r="57" customFormat="false" ht="15" hidden="false" customHeight="false" outlineLevel="0" collapsed="false">
      <c r="A57" s="9" t="s">
        <v>126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customFormat="false" ht="15" hidden="false" customHeight="false" outlineLevel="0" collapsed="false">
      <c r="A58" s="9" t="s">
        <v>127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customFormat="false" ht="15" hidden="false" customHeight="false" outlineLevel="0" collapsed="false">
      <c r="A59" s="9" t="s">
        <v>128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</row>
    <row r="60" customFormat="false" ht="15" hidden="false" customHeight="false" outlineLevel="0" collapsed="false">
      <c r="A60" s="9" t="s">
        <v>129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</row>
    <row r="61" customFormat="false" ht="15" hidden="false" customHeight="false" outlineLevel="0" collapsed="false">
      <c r="A61" s="9" t="s">
        <v>130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customFormat="false" ht="15" hidden="false" customHeight="false" outlineLevel="0" collapsed="false">
      <c r="A62" s="9" t="s">
        <v>131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customFormat="false" ht="15" hidden="false" customHeight="false" outlineLevel="0" collapsed="false">
      <c r="A63" s="9" t="s">
        <v>132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customFormat="false" ht="15" hidden="false" customHeight="false" outlineLevel="0" collapsed="false">
      <c r="A64" s="9" t="s">
        <v>133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</row>
  </sheetData>
  <mergeCells count="4">
    <mergeCell ref="A1:K1"/>
    <mergeCell ref="A21:K21"/>
    <mergeCell ref="A39:K39"/>
    <mergeCell ref="A54:K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6" t="s">
        <v>134</v>
      </c>
      <c r="B1" s="6"/>
      <c r="C1" s="6"/>
      <c r="D1" s="6"/>
      <c r="E1" s="6"/>
    </row>
    <row r="2" customFormat="false" ht="18" hidden="false" customHeight="true" outlineLevel="0" collapsed="false">
      <c r="A2" s="7" t="s">
        <v>68</v>
      </c>
      <c r="B2" s="7" t="s">
        <v>135</v>
      </c>
      <c r="C2" s="7" t="s">
        <v>136</v>
      </c>
      <c r="D2" s="7" t="s">
        <v>137</v>
      </c>
      <c r="E2" s="7" t="s">
        <v>138</v>
      </c>
    </row>
    <row r="3" customFormat="false" ht="15" hidden="false" customHeight="false" outlineLevel="0" collapsed="false">
      <c r="A3" s="9" t="s">
        <v>139</v>
      </c>
      <c r="B3" s="13"/>
      <c r="C3" s="13"/>
      <c r="D3" s="15"/>
      <c r="E3" s="16" t="str">
        <f aca="false">IFERROR((C3/B3)^(1/D3)-1,"-")</f>
        <v>-</v>
      </c>
    </row>
    <row r="4" customFormat="false" ht="15" hidden="false" customHeight="false" outlineLevel="0" collapsed="false">
      <c r="A4" s="9" t="s">
        <v>92</v>
      </c>
      <c r="B4" s="13"/>
      <c r="C4" s="13"/>
      <c r="D4" s="15"/>
      <c r="E4" s="16" t="str">
        <f aca="false">IFERROR((C4/B4)^(1/D4)-1,"-")</f>
        <v>-</v>
      </c>
    </row>
    <row r="5" customFormat="false" ht="15" hidden="false" customHeight="false" outlineLevel="0" collapsed="false">
      <c r="A5" s="9" t="s">
        <v>140</v>
      </c>
      <c r="B5" s="13"/>
      <c r="C5" s="13"/>
      <c r="D5" s="15"/>
      <c r="E5" s="16" t="str">
        <f aca="false">IFERROR((C5/B5)^(1/D5)-1,"-")</f>
        <v>-</v>
      </c>
    </row>
    <row r="6" customFormat="false" ht="15" hidden="false" customHeight="false" outlineLevel="0" collapsed="false">
      <c r="A6" s="9" t="s">
        <v>141</v>
      </c>
      <c r="B6" s="13"/>
      <c r="C6" s="13"/>
      <c r="D6" s="15"/>
      <c r="E6" s="16" t="str">
        <f aca="false">IFERROR((C6/B6)^(1/D6)-1,"-")</f>
        <v>-</v>
      </c>
    </row>
    <row r="7" customFormat="false" ht="15" hidden="false" customHeight="false" outlineLevel="0" collapsed="false">
      <c r="A7" s="9" t="s">
        <v>142</v>
      </c>
      <c r="B7" s="13"/>
      <c r="C7" s="13"/>
      <c r="D7" s="15"/>
      <c r="E7" s="16" t="str">
        <f aca="false">IFERROR((C7/B7)^(1/D7)-1,"-")</f>
        <v>-</v>
      </c>
    </row>
    <row r="9" customFormat="false" ht="15" hidden="false" customHeight="false" outlineLevel="0" collapsed="false">
      <c r="A9" s="6" t="s">
        <v>143</v>
      </c>
      <c r="B9" s="6"/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7" t="s">
        <v>144</v>
      </c>
      <c r="B10" s="7" t="s">
        <v>145</v>
      </c>
      <c r="C10" s="7" t="s">
        <v>146</v>
      </c>
      <c r="D10" s="7" t="s">
        <v>147</v>
      </c>
      <c r="E10" s="7" t="s">
        <v>148</v>
      </c>
      <c r="F10" s="7" t="s">
        <v>149</v>
      </c>
      <c r="G10" s="7" t="s">
        <v>150</v>
      </c>
      <c r="H10" s="7" t="s">
        <v>26</v>
      </c>
      <c r="I10" s="7" t="s">
        <v>151</v>
      </c>
    </row>
    <row r="11" customFormat="false" ht="15" hidden="false" customHeight="false" outlineLevel="0" collapsed="false">
      <c r="A11" s="9" t="s">
        <v>139</v>
      </c>
      <c r="B11" s="13"/>
      <c r="C11" s="13"/>
      <c r="D11" s="13"/>
      <c r="E11" s="13"/>
      <c r="F11" s="13"/>
      <c r="G11" s="13"/>
    </row>
    <row r="12" customFormat="false" ht="15" hidden="false" customHeight="false" outlineLevel="0" collapsed="false">
      <c r="A12" s="9" t="s">
        <v>152</v>
      </c>
      <c r="B12" s="10"/>
      <c r="C12" s="10"/>
      <c r="D12" s="10"/>
      <c r="E12" s="10"/>
      <c r="F12" s="10"/>
      <c r="G12" s="10"/>
    </row>
    <row r="13" customFormat="false" ht="15" hidden="false" customHeight="false" outlineLevel="0" collapsed="false">
      <c r="A13" s="9" t="s">
        <v>153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9" t="s">
        <v>86</v>
      </c>
      <c r="B14" s="10"/>
      <c r="C14" s="10"/>
      <c r="D14" s="10"/>
      <c r="E14" s="10"/>
      <c r="F14" s="10"/>
      <c r="G14" s="10"/>
    </row>
    <row r="15" customFormat="false" ht="15" hidden="false" customHeight="false" outlineLevel="0" collapsed="false">
      <c r="A15" s="9" t="s">
        <v>89</v>
      </c>
      <c r="B15" s="13"/>
      <c r="C15" s="13"/>
      <c r="D15" s="13"/>
      <c r="E15" s="13"/>
      <c r="F15" s="13"/>
      <c r="G15" s="13"/>
    </row>
    <row r="16" customFormat="false" ht="15" hidden="false" customHeight="false" outlineLevel="0" collapsed="false">
      <c r="A16" s="9" t="s">
        <v>154</v>
      </c>
      <c r="B16" s="13"/>
      <c r="C16" s="13"/>
      <c r="D16" s="13"/>
      <c r="E16" s="13"/>
      <c r="F16" s="13"/>
      <c r="G16" s="13"/>
    </row>
    <row r="17" customFormat="false" ht="15" hidden="false" customHeight="false" outlineLevel="0" collapsed="false">
      <c r="A17" s="9" t="s">
        <v>113</v>
      </c>
      <c r="B17" s="13"/>
      <c r="C17" s="13"/>
      <c r="D17" s="13"/>
      <c r="E17" s="13"/>
      <c r="F17" s="13"/>
      <c r="G17" s="13"/>
    </row>
    <row r="18" customFormat="false" ht="15" hidden="false" customHeight="false" outlineLevel="0" collapsed="false">
      <c r="A18" s="9" t="s">
        <v>117</v>
      </c>
      <c r="B18" s="13"/>
      <c r="C18" s="13"/>
      <c r="D18" s="13"/>
      <c r="E18" s="13"/>
      <c r="F18" s="13"/>
      <c r="G18" s="13"/>
    </row>
    <row r="19" customFormat="false" ht="15" hidden="false" customHeight="false" outlineLevel="0" collapsed="false">
      <c r="A19" s="9" t="s">
        <v>155</v>
      </c>
      <c r="B19" s="13"/>
      <c r="C19" s="13"/>
      <c r="D19" s="13"/>
      <c r="E19" s="13"/>
      <c r="F19" s="13"/>
      <c r="G19" s="13"/>
    </row>
    <row r="20" customFormat="false" ht="15" hidden="false" customHeight="false" outlineLevel="0" collapsed="false">
      <c r="A20" s="2" t="s">
        <v>156</v>
      </c>
      <c r="B20" s="13"/>
      <c r="C20" s="13"/>
      <c r="D20" s="13"/>
      <c r="E20" s="13"/>
      <c r="F20" s="13"/>
      <c r="G20" s="13"/>
    </row>
    <row r="22" customFormat="false" ht="15" hidden="false" customHeight="false" outlineLevel="0" collapsed="false">
      <c r="A22" s="9" t="s">
        <v>157</v>
      </c>
      <c r="B22" s="13"/>
      <c r="C22" s="13"/>
      <c r="D22" s="13"/>
      <c r="E22" s="13"/>
      <c r="F22" s="13"/>
      <c r="G22" s="13"/>
    </row>
    <row r="23" customFormat="false" ht="15" hidden="false" customHeight="false" outlineLevel="0" collapsed="false">
      <c r="A23" s="2" t="s">
        <v>158</v>
      </c>
      <c r="B23" s="13"/>
      <c r="C23" s="13"/>
      <c r="D23" s="13"/>
      <c r="E23" s="13"/>
      <c r="F23" s="13"/>
      <c r="G23" s="13"/>
    </row>
    <row r="25" customFormat="false" ht="15" hidden="false" customHeight="false" outlineLevel="0" collapsed="false">
      <c r="A25" s="6" t="s">
        <v>159</v>
      </c>
      <c r="B25" s="6"/>
      <c r="C25" s="6"/>
      <c r="D25" s="6"/>
      <c r="E25" s="6"/>
    </row>
    <row r="26" customFormat="false" ht="18" hidden="false" customHeight="true" outlineLevel="0" collapsed="false">
      <c r="A26" s="7" t="s">
        <v>160</v>
      </c>
      <c r="B26" s="7" t="s">
        <v>161</v>
      </c>
      <c r="C26" s="7" t="s">
        <v>162</v>
      </c>
      <c r="D26" s="7" t="s">
        <v>163</v>
      </c>
      <c r="E26" s="7" t="s">
        <v>26</v>
      </c>
    </row>
    <row r="27" customFormat="false" ht="15" hidden="false" customHeight="false" outlineLevel="0" collapsed="false">
      <c r="A27" s="9" t="s">
        <v>164</v>
      </c>
      <c r="B27" s="13"/>
      <c r="C27" s="13"/>
      <c r="D27" s="13"/>
      <c r="E27" s="9"/>
    </row>
    <row r="28" customFormat="false" ht="15" hidden="false" customHeight="false" outlineLevel="0" collapsed="false">
      <c r="A28" s="9" t="s">
        <v>165</v>
      </c>
      <c r="B28" s="13"/>
      <c r="C28" s="13"/>
      <c r="D28" s="13"/>
      <c r="E28" s="9"/>
    </row>
    <row r="29" customFormat="false" ht="15" hidden="false" customHeight="false" outlineLevel="0" collapsed="false">
      <c r="A29" s="2" t="s">
        <v>166</v>
      </c>
      <c r="B29" s="13"/>
      <c r="C29" s="13"/>
      <c r="D29" s="13"/>
      <c r="E29" s="9"/>
    </row>
    <row r="30" customFormat="false" ht="15" hidden="false" customHeight="false" outlineLevel="0" collapsed="false">
      <c r="A30" s="9" t="s">
        <v>167</v>
      </c>
      <c r="B30" s="13"/>
      <c r="C30" s="13"/>
      <c r="D30" s="13"/>
      <c r="E30" s="9"/>
    </row>
    <row r="31" customFormat="false" ht="15" hidden="false" customHeight="false" outlineLevel="0" collapsed="false">
      <c r="A31" s="9" t="s">
        <v>168</v>
      </c>
      <c r="B31" s="13"/>
      <c r="C31" s="13"/>
      <c r="D31" s="13"/>
      <c r="E31" s="9"/>
    </row>
    <row r="32" customFormat="false" ht="15" hidden="false" customHeight="false" outlineLevel="0" collapsed="false">
      <c r="A32" s="9" t="s">
        <v>169</v>
      </c>
      <c r="B32" s="13"/>
      <c r="C32" s="13"/>
      <c r="D32" s="13"/>
      <c r="E32" s="9"/>
    </row>
    <row r="33" customFormat="false" ht="15" hidden="false" customHeight="false" outlineLevel="0" collapsed="false">
      <c r="A33" s="9" t="s">
        <v>93</v>
      </c>
      <c r="B33" s="13"/>
      <c r="C33" s="13"/>
      <c r="D33" s="13"/>
      <c r="E33" s="9"/>
    </row>
    <row r="34" customFormat="false" ht="15" hidden="false" customHeight="false" outlineLevel="0" collapsed="false">
      <c r="A34" s="2" t="s">
        <v>170</v>
      </c>
      <c r="B34" s="12"/>
      <c r="C34" s="12"/>
      <c r="D34" s="12"/>
      <c r="E34" s="9"/>
    </row>
    <row r="35" customFormat="false" ht="15" hidden="false" customHeight="false" outlineLevel="0" collapsed="false">
      <c r="A35" s="9" t="s">
        <v>7</v>
      </c>
      <c r="B35" s="12"/>
      <c r="C35" s="12"/>
      <c r="D35" s="12"/>
      <c r="E35" s="9"/>
    </row>
    <row r="36" customFormat="false" ht="15" hidden="false" customHeight="false" outlineLevel="0" collapsed="false">
      <c r="A36" s="2" t="s">
        <v>171</v>
      </c>
      <c r="B36" s="10"/>
      <c r="C36" s="10"/>
      <c r="D36" s="10"/>
      <c r="E36" s="9"/>
    </row>
    <row r="38" customFormat="false" ht="15" hidden="false" customHeight="false" outlineLevel="0" collapsed="false">
      <c r="A38" s="6" t="s">
        <v>172</v>
      </c>
      <c r="B38" s="6"/>
      <c r="C38" s="6"/>
      <c r="D38" s="6"/>
      <c r="E38" s="6"/>
      <c r="F38" s="6"/>
      <c r="G38" s="6"/>
      <c r="H38" s="6"/>
      <c r="I38" s="6"/>
    </row>
    <row r="39" customFormat="false" ht="18" hidden="false" customHeight="true" outlineLevel="0" collapsed="false">
      <c r="A39" s="7" t="s">
        <v>173</v>
      </c>
      <c r="B39" s="7" t="s">
        <v>2</v>
      </c>
      <c r="C39" s="7" t="s">
        <v>174</v>
      </c>
      <c r="D39" s="7" t="s">
        <v>127</v>
      </c>
      <c r="E39" s="7" t="s">
        <v>175</v>
      </c>
      <c r="F39" s="7" t="s">
        <v>128</v>
      </c>
      <c r="G39" s="7" t="s">
        <v>176</v>
      </c>
      <c r="H39" s="7" t="s">
        <v>177</v>
      </c>
      <c r="I39" s="7" t="s">
        <v>26</v>
      </c>
    </row>
    <row r="40" customFormat="false" ht="15" hidden="false" customHeight="false" outlineLevel="0" collapsed="false">
      <c r="A40" s="17" t="s">
        <v>178</v>
      </c>
      <c r="B40" s="18"/>
      <c r="C40" s="19"/>
      <c r="D40" s="19"/>
      <c r="E40" s="19"/>
      <c r="F40" s="19"/>
      <c r="G40" s="19"/>
      <c r="H40" s="20"/>
      <c r="I40" s="18"/>
    </row>
    <row r="41" customFormat="false" ht="15" hidden="false" customHeight="false" outlineLevel="0" collapsed="false">
      <c r="A41" s="9" t="s">
        <v>179</v>
      </c>
      <c r="B41" s="21"/>
      <c r="C41" s="11"/>
      <c r="D41" s="11"/>
      <c r="E41" s="11"/>
      <c r="F41" s="11"/>
      <c r="G41" s="11"/>
      <c r="H41" s="22"/>
      <c r="I41" s="21"/>
    </row>
    <row r="42" customFormat="false" ht="15" hidden="false" customHeight="false" outlineLevel="0" collapsed="false">
      <c r="A42" s="9" t="s">
        <v>180</v>
      </c>
      <c r="B42" s="21"/>
      <c r="C42" s="11"/>
      <c r="D42" s="11"/>
      <c r="E42" s="11"/>
      <c r="F42" s="11"/>
      <c r="G42" s="11"/>
      <c r="H42" s="22"/>
      <c r="I42" s="21"/>
    </row>
    <row r="43" customFormat="false" ht="15" hidden="false" customHeight="false" outlineLevel="0" collapsed="false">
      <c r="A43" s="9" t="s">
        <v>181</v>
      </c>
      <c r="B43" s="21"/>
      <c r="C43" s="11"/>
      <c r="D43" s="11"/>
      <c r="E43" s="11"/>
      <c r="F43" s="11"/>
      <c r="G43" s="11"/>
      <c r="H43" s="22"/>
      <c r="I43" s="21"/>
    </row>
    <row r="44" customFormat="false" ht="15" hidden="false" customHeight="false" outlineLevel="0" collapsed="false">
      <c r="A44" s="9" t="s">
        <v>182</v>
      </c>
      <c r="B44" s="21"/>
      <c r="C44" s="11"/>
      <c r="D44" s="11"/>
      <c r="E44" s="11"/>
      <c r="F44" s="11"/>
      <c r="G44" s="11"/>
      <c r="H44" s="22"/>
      <c r="I44" s="21"/>
    </row>
    <row r="45" customFormat="false" ht="15" hidden="false" customHeight="false" outlineLevel="0" collapsed="false">
      <c r="A45" s="9" t="s">
        <v>183</v>
      </c>
      <c r="B45" s="21"/>
      <c r="C45" s="11"/>
      <c r="D45" s="11"/>
      <c r="E45" s="11"/>
      <c r="F45" s="11"/>
      <c r="G45" s="11"/>
      <c r="H45" s="22"/>
      <c r="I45" s="21"/>
    </row>
    <row r="46" customFormat="false" ht="15" hidden="false" customHeight="false" outlineLevel="0" collapsed="false">
      <c r="A46" s="9" t="s">
        <v>184</v>
      </c>
      <c r="B46" s="21"/>
      <c r="C46" s="11"/>
      <c r="D46" s="11"/>
      <c r="E46" s="11"/>
      <c r="F46" s="11"/>
      <c r="G46" s="11"/>
      <c r="H46" s="22"/>
      <c r="I46" s="21"/>
    </row>
    <row r="47" customFormat="false" ht="15" hidden="false" customHeight="false" outlineLevel="0" collapsed="false">
      <c r="A47" s="2" t="s">
        <v>185</v>
      </c>
      <c r="B47" s="9" t="s">
        <v>186</v>
      </c>
      <c r="C47" s="23" t="str">
        <f aca="false">IFERROR(AVERAGE(C41:C46),"-")</f>
        <v>-</v>
      </c>
      <c r="D47" s="23" t="str">
        <f aca="false">IFERROR(AVERAGE(D41:D46),"-")</f>
        <v>-</v>
      </c>
      <c r="E47" s="23" t="str">
        <f aca="false">IFERROR(AVERAGE(E41:E46),"-")</f>
        <v>-</v>
      </c>
      <c r="F47" s="23" t="str">
        <f aca="false">IFERROR(AVERAGE(F41:F46),"-")</f>
        <v>-</v>
      </c>
      <c r="G47" s="23" t="str">
        <f aca="false">IFERROR(AVERAGE(G41:G46),"-")</f>
        <v>-</v>
      </c>
    </row>
    <row r="48" customFormat="false" ht="15" hidden="false" customHeight="false" outlineLevel="0" collapsed="false">
      <c r="A48" s="2" t="s">
        <v>187</v>
      </c>
      <c r="C48" s="16" t="str">
        <f aca="false">IFERROR((C40/C47)-1,"-")</f>
        <v>-</v>
      </c>
      <c r="D48" s="16" t="str">
        <f aca="false">IFERROR((D40/D47)-1,"-")</f>
        <v>-</v>
      </c>
      <c r="E48" s="16" t="str">
        <f aca="false">IFERROR((E40/E47)-1,"-")</f>
        <v>-</v>
      </c>
      <c r="F48" s="16" t="str">
        <f aca="false">IFERROR((F40/F47)-1,"-")</f>
        <v>-</v>
      </c>
      <c r="G48" s="16" t="str">
        <f aca="false">IFERROR((G40/G47)-1,"-")</f>
        <v>-</v>
      </c>
    </row>
  </sheetData>
  <mergeCells count="4">
    <mergeCell ref="A1:E1"/>
    <mergeCell ref="A9:I9"/>
    <mergeCell ref="A25:E25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064"/>
    <pageSetUpPr fitToPage="fals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6" t="s">
        <v>188</v>
      </c>
      <c r="B1" s="6"/>
      <c r="C1" s="6"/>
      <c r="D1" s="6"/>
      <c r="E1" s="6"/>
    </row>
    <row r="2" customFormat="false" ht="18" hidden="false" customHeight="true" outlineLevel="0" collapsed="false">
      <c r="A2" s="7" t="s">
        <v>189</v>
      </c>
      <c r="B2" s="7" t="s">
        <v>190</v>
      </c>
      <c r="C2" s="7" t="s">
        <v>191</v>
      </c>
      <c r="D2" s="7" t="s">
        <v>192</v>
      </c>
      <c r="E2" s="7" t="s">
        <v>26</v>
      </c>
    </row>
    <row r="3" customFormat="false" ht="15" hidden="false" customHeight="false" outlineLevel="0" collapsed="false">
      <c r="A3" s="9" t="s">
        <v>62</v>
      </c>
      <c r="B3" s="12"/>
      <c r="C3" s="24"/>
      <c r="D3" s="24"/>
      <c r="E3" s="24"/>
    </row>
    <row r="4" customFormat="false" ht="15" hidden="false" customHeight="false" outlineLevel="0" collapsed="false">
      <c r="A4" s="9" t="s">
        <v>63</v>
      </c>
      <c r="B4" s="12"/>
      <c r="C4" s="24"/>
      <c r="D4" s="24"/>
      <c r="E4" s="24"/>
    </row>
    <row r="5" customFormat="false" ht="15" hidden="false" customHeight="false" outlineLevel="0" collapsed="false">
      <c r="A5" s="9" t="s">
        <v>64</v>
      </c>
      <c r="B5" s="12"/>
      <c r="C5" s="24"/>
      <c r="D5" s="24"/>
      <c r="E5" s="24"/>
    </row>
    <row r="6" customFormat="false" ht="15" hidden="false" customHeight="false" outlineLevel="0" collapsed="false">
      <c r="A6" s="9" t="s">
        <v>193</v>
      </c>
      <c r="B6" s="12"/>
      <c r="C6" s="24"/>
      <c r="D6" s="24"/>
      <c r="E6" s="24"/>
    </row>
    <row r="7" customFormat="false" ht="15" hidden="false" customHeight="false" outlineLevel="0" collapsed="false">
      <c r="A7" s="9" t="s">
        <v>194</v>
      </c>
      <c r="B7" s="12"/>
      <c r="C7" s="24"/>
      <c r="D7" s="24"/>
      <c r="E7" s="24"/>
    </row>
    <row r="9" customFormat="false" ht="15" hidden="false" customHeight="false" outlineLevel="0" collapsed="false">
      <c r="A9" s="6" t="s">
        <v>195</v>
      </c>
      <c r="B9" s="6"/>
      <c r="C9" s="6"/>
      <c r="D9" s="6"/>
      <c r="E9" s="6"/>
    </row>
    <row r="10" customFormat="false" ht="18" hidden="false" customHeight="true" outlineLevel="0" collapsed="false">
      <c r="A10" s="7" t="s">
        <v>196</v>
      </c>
      <c r="B10" s="7" t="s">
        <v>197</v>
      </c>
      <c r="C10" s="7" t="s">
        <v>198</v>
      </c>
      <c r="D10" s="7" t="s">
        <v>199</v>
      </c>
      <c r="E10" s="7" t="s">
        <v>26</v>
      </c>
    </row>
    <row r="11" customFormat="false" ht="15" hidden="false" customHeight="false" outlineLevel="0" collapsed="false">
      <c r="A11" s="2" t="s">
        <v>200</v>
      </c>
      <c r="B11" s="12"/>
      <c r="C11" s="24"/>
      <c r="D11" s="24"/>
      <c r="E11" s="24"/>
    </row>
    <row r="12" customFormat="false" ht="15" hidden="false" customHeight="false" outlineLevel="0" collapsed="false">
      <c r="A12" s="2" t="s">
        <v>201</v>
      </c>
      <c r="B12" s="12"/>
      <c r="C12" s="24"/>
      <c r="D12" s="24"/>
      <c r="E12" s="24"/>
    </row>
    <row r="13" customFormat="false" ht="15" hidden="false" customHeight="false" outlineLevel="0" collapsed="false">
      <c r="A13" s="2" t="s">
        <v>202</v>
      </c>
      <c r="B13" s="12"/>
      <c r="C13" s="24"/>
      <c r="D13" s="24"/>
      <c r="E13" s="24"/>
    </row>
    <row r="15" customFormat="false" ht="15" hidden="false" customHeight="false" outlineLevel="0" collapsed="false">
      <c r="A15" s="6" t="s">
        <v>203</v>
      </c>
      <c r="B15" s="6"/>
      <c r="C15" s="6"/>
      <c r="D15" s="6"/>
      <c r="E15" s="6"/>
    </row>
    <row r="16" customFormat="false" ht="18" hidden="false" customHeight="true" outlineLevel="0" collapsed="false">
      <c r="A16" s="7" t="s">
        <v>196</v>
      </c>
      <c r="B16" s="7" t="s">
        <v>197</v>
      </c>
      <c r="C16" s="7" t="s">
        <v>198</v>
      </c>
      <c r="D16" s="7" t="s">
        <v>199</v>
      </c>
      <c r="E16" s="7" t="s">
        <v>26</v>
      </c>
    </row>
    <row r="17" customFormat="false" ht="15" hidden="false" customHeight="false" outlineLevel="0" collapsed="false">
      <c r="A17" s="2" t="s">
        <v>204</v>
      </c>
      <c r="B17" s="12"/>
      <c r="C17" s="24"/>
      <c r="D17" s="24"/>
      <c r="E17" s="24"/>
    </row>
    <row r="18" customFormat="false" ht="15" hidden="false" customHeight="false" outlineLevel="0" collapsed="false">
      <c r="A18" s="2" t="s">
        <v>205</v>
      </c>
      <c r="B18" s="12"/>
      <c r="C18" s="24"/>
      <c r="D18" s="24"/>
      <c r="E18" s="24"/>
    </row>
    <row r="19" customFormat="false" ht="15" hidden="false" customHeight="false" outlineLevel="0" collapsed="false">
      <c r="A19" s="2" t="s">
        <v>206</v>
      </c>
      <c r="B19" s="12"/>
      <c r="C19" s="24"/>
      <c r="D19" s="24"/>
      <c r="E19" s="24"/>
    </row>
    <row r="21" customFormat="false" ht="15" hidden="false" customHeight="false" outlineLevel="0" collapsed="false">
      <c r="A21" s="6" t="s">
        <v>207</v>
      </c>
      <c r="B21" s="6"/>
      <c r="C21" s="6"/>
      <c r="D21" s="6"/>
      <c r="E21" s="6"/>
    </row>
    <row r="22" customFormat="false" ht="18" hidden="false" customHeight="true" outlineLevel="0" collapsed="false">
      <c r="A22" s="7" t="s">
        <v>208</v>
      </c>
      <c r="B22" s="7" t="s">
        <v>24</v>
      </c>
      <c r="C22" s="7" t="s">
        <v>209</v>
      </c>
      <c r="D22" s="7"/>
      <c r="E22" s="7"/>
    </row>
    <row r="23" customFormat="false" ht="15" hidden="false" customHeight="false" outlineLevel="0" collapsed="false">
      <c r="A23" s="9" t="s">
        <v>65</v>
      </c>
      <c r="B23" s="12"/>
    </row>
    <row r="24" customFormat="false" ht="15" hidden="false" customHeight="false" outlineLevel="0" collapsed="false">
      <c r="A24" s="9" t="s">
        <v>66</v>
      </c>
      <c r="B24" s="12"/>
    </row>
    <row r="25" customFormat="false" ht="15" hidden="false" customHeight="false" outlineLevel="0" collapsed="false">
      <c r="A25" s="9" t="s">
        <v>210</v>
      </c>
      <c r="B25" s="12"/>
    </row>
    <row r="26" customFormat="false" ht="15" hidden="false" customHeight="false" outlineLevel="0" collapsed="false">
      <c r="A26" s="9" t="s">
        <v>7</v>
      </c>
      <c r="B26" s="12"/>
    </row>
    <row r="27" customFormat="false" ht="15" hidden="false" customHeight="false" outlineLevel="0" collapsed="false">
      <c r="A27" s="9" t="s">
        <v>211</v>
      </c>
      <c r="B27" s="10"/>
      <c r="C27" s="16" t="str">
        <f aca="false">IFERROR((B26-B23)/B23,"-")</f>
        <v>-</v>
      </c>
    </row>
    <row r="28" customFormat="false" ht="15" hidden="false" customHeight="false" outlineLevel="0" collapsed="false">
      <c r="A28" s="9" t="s">
        <v>212</v>
      </c>
      <c r="B28" s="10"/>
      <c r="C28" s="16" t="str">
        <f aca="false">IFERROR((B26-B24)/B24,"-")</f>
        <v>-</v>
      </c>
    </row>
    <row r="29" customFormat="false" ht="15" hidden="false" customHeight="false" outlineLevel="0" collapsed="false">
      <c r="A29" s="9" t="s">
        <v>213</v>
      </c>
      <c r="B29" s="10"/>
    </row>
    <row r="30" customFormat="false" ht="15" hidden="false" customHeight="false" outlineLevel="0" collapsed="false">
      <c r="A30" s="9" t="s">
        <v>214</v>
      </c>
      <c r="B30" s="13"/>
    </row>
    <row r="31" customFormat="false" ht="15" hidden="false" customHeight="false" outlineLevel="0" collapsed="false">
      <c r="A31" s="9" t="s">
        <v>215</v>
      </c>
      <c r="B31" s="10"/>
    </row>
    <row r="33" customFormat="false" ht="15" hidden="false" customHeight="false" outlineLevel="0" collapsed="false">
      <c r="A33" s="6" t="s">
        <v>216</v>
      </c>
      <c r="B33" s="6"/>
      <c r="C33" s="6"/>
      <c r="D33" s="6"/>
      <c r="E33" s="6"/>
    </row>
    <row r="34" customFormat="false" ht="18" hidden="false" customHeight="true" outlineLevel="0" collapsed="false">
      <c r="A34" s="7" t="s">
        <v>217</v>
      </c>
      <c r="B34" s="7" t="s">
        <v>218</v>
      </c>
      <c r="C34" s="7" t="s">
        <v>219</v>
      </c>
      <c r="D34" s="7" t="s">
        <v>220</v>
      </c>
      <c r="E34" s="7" t="s">
        <v>26</v>
      </c>
    </row>
    <row r="35" customFormat="false" ht="15" hidden="false" customHeight="false" outlineLevel="0" collapsed="false">
      <c r="A35" s="9" t="s">
        <v>221</v>
      </c>
      <c r="B35" s="24"/>
      <c r="C35" s="24"/>
      <c r="D35" s="9" t="s">
        <v>222</v>
      </c>
      <c r="E35" s="24"/>
    </row>
    <row r="36" customFormat="false" ht="15" hidden="false" customHeight="false" outlineLevel="0" collapsed="false">
      <c r="A36" s="9" t="s">
        <v>223</v>
      </c>
      <c r="B36" s="24"/>
      <c r="C36" s="24"/>
      <c r="D36" s="9" t="s">
        <v>224</v>
      </c>
      <c r="E36" s="24"/>
    </row>
    <row r="37" customFormat="false" ht="15" hidden="false" customHeight="false" outlineLevel="0" collapsed="false">
      <c r="A37" s="9" t="s">
        <v>225</v>
      </c>
      <c r="B37" s="24"/>
      <c r="C37" s="24"/>
      <c r="D37" s="9" t="s">
        <v>222</v>
      </c>
      <c r="E37" s="24"/>
    </row>
    <row r="38" customFormat="false" ht="15" hidden="false" customHeight="false" outlineLevel="0" collapsed="false">
      <c r="A38" s="9" t="s">
        <v>226</v>
      </c>
      <c r="B38" s="24"/>
      <c r="C38" s="24"/>
      <c r="D38" s="9" t="s">
        <v>222</v>
      </c>
      <c r="E38" s="24"/>
    </row>
    <row r="39" customFormat="false" ht="15" hidden="false" customHeight="false" outlineLevel="0" collapsed="false">
      <c r="A39" s="9" t="s">
        <v>227</v>
      </c>
      <c r="B39" s="24"/>
      <c r="C39" s="24"/>
      <c r="D39" s="9" t="s">
        <v>228</v>
      </c>
      <c r="E39" s="24"/>
    </row>
    <row r="41" customFormat="false" ht="15" hidden="false" customHeight="false" outlineLevel="0" collapsed="false">
      <c r="A41" s="6" t="s">
        <v>229</v>
      </c>
      <c r="B41" s="6"/>
      <c r="C41" s="6"/>
      <c r="D41" s="6"/>
      <c r="E41" s="6"/>
    </row>
    <row r="42" customFormat="false" ht="15" hidden="false" customHeight="false" outlineLevel="0" collapsed="false">
      <c r="A42" s="9" t="s">
        <v>230</v>
      </c>
      <c r="B42" s="24"/>
      <c r="C42" s="25"/>
      <c r="D42" s="25"/>
      <c r="E42" s="25"/>
    </row>
    <row r="43" customFormat="false" ht="15" hidden="false" customHeight="false" outlineLevel="0" collapsed="false">
      <c r="A43" s="9" t="s">
        <v>231</v>
      </c>
      <c r="B43" s="24"/>
      <c r="C43" s="25"/>
      <c r="D43" s="25"/>
      <c r="E43" s="25"/>
    </row>
    <row r="44" customFormat="false" ht="15" hidden="false" customHeight="false" outlineLevel="0" collapsed="false">
      <c r="A44" s="9" t="s">
        <v>232</v>
      </c>
      <c r="B44" s="24"/>
      <c r="C44" s="25"/>
      <c r="D44" s="25"/>
      <c r="E44" s="25"/>
    </row>
    <row r="45" customFormat="false" ht="15" hidden="false" customHeight="false" outlineLevel="0" collapsed="false">
      <c r="A45" s="9" t="s">
        <v>233</v>
      </c>
      <c r="B45" s="24"/>
      <c r="C45" s="25"/>
      <c r="D45" s="25"/>
      <c r="E45" s="25"/>
    </row>
    <row r="46" customFormat="false" ht="15" hidden="false" customHeight="false" outlineLevel="0" collapsed="false">
      <c r="A46" s="9" t="s">
        <v>234</v>
      </c>
      <c r="B46" s="24"/>
      <c r="C46" s="25"/>
      <c r="D46" s="25"/>
      <c r="E46" s="25"/>
    </row>
    <row r="47" customFormat="false" ht="15" hidden="false" customHeight="false" outlineLevel="0" collapsed="false">
      <c r="A47" s="9" t="s">
        <v>235</v>
      </c>
      <c r="B47" s="24"/>
      <c r="C47" s="25"/>
      <c r="D47" s="25"/>
      <c r="E47" s="25"/>
    </row>
    <row r="48" customFormat="false" ht="15" hidden="false" customHeight="false" outlineLevel="0" collapsed="false">
      <c r="A48" s="9" t="s">
        <v>236</v>
      </c>
      <c r="B48" s="24"/>
      <c r="C48" s="25"/>
      <c r="D48" s="25"/>
      <c r="E48" s="25"/>
    </row>
    <row r="49" customFormat="false" ht="15" hidden="false" customHeight="false" outlineLevel="0" collapsed="false">
      <c r="A49" s="9" t="s">
        <v>237</v>
      </c>
      <c r="B49" s="24"/>
      <c r="C49" s="25"/>
      <c r="D49" s="25"/>
      <c r="E49" s="25"/>
    </row>
    <row r="50" customFormat="false" ht="15" hidden="false" customHeight="false" outlineLevel="0" collapsed="false">
      <c r="A50" s="9" t="s">
        <v>238</v>
      </c>
      <c r="B50" s="24"/>
      <c r="C50" s="25"/>
      <c r="D50" s="25"/>
      <c r="E50" s="25"/>
    </row>
    <row r="51" customFormat="false" ht="15" hidden="false" customHeight="false" outlineLevel="0" collapsed="false">
      <c r="A51" s="9" t="s">
        <v>239</v>
      </c>
      <c r="B51" s="24"/>
      <c r="C51" s="25"/>
      <c r="D51" s="25"/>
      <c r="E51" s="25"/>
    </row>
    <row r="53" customFormat="false" ht="15" hidden="false" customHeight="false" outlineLevel="0" collapsed="false">
      <c r="A53" s="6" t="s">
        <v>240</v>
      </c>
      <c r="B53" s="6"/>
      <c r="C53" s="6"/>
      <c r="D53" s="6"/>
      <c r="E53" s="6"/>
    </row>
    <row r="54" customFormat="false" ht="15" hidden="false" customHeight="false" outlineLevel="0" collapsed="false">
      <c r="A54" s="9" t="s">
        <v>241</v>
      </c>
      <c r="B54" s="24"/>
      <c r="C54" s="24"/>
      <c r="D54" s="24"/>
      <c r="E54" s="24"/>
    </row>
    <row r="55" customFormat="false" ht="15" hidden="false" customHeight="false" outlineLevel="0" collapsed="false">
      <c r="A55" s="9" t="s">
        <v>242</v>
      </c>
      <c r="B55" s="24"/>
      <c r="C55" s="24"/>
      <c r="D55" s="24"/>
      <c r="E55" s="24"/>
    </row>
    <row r="56" customFormat="false" ht="15" hidden="false" customHeight="false" outlineLevel="0" collapsed="false">
      <c r="A56" s="9" t="s">
        <v>243</v>
      </c>
      <c r="B56" s="24"/>
      <c r="C56" s="24"/>
      <c r="D56" s="24"/>
      <c r="E56" s="24"/>
    </row>
    <row r="57" customFormat="false" ht="15" hidden="false" customHeight="false" outlineLevel="0" collapsed="false">
      <c r="A57" s="9" t="s">
        <v>244</v>
      </c>
      <c r="B57" s="24"/>
      <c r="C57" s="24"/>
      <c r="D57" s="24"/>
      <c r="E57" s="24"/>
    </row>
    <row r="58" customFormat="false" ht="15" hidden="false" customHeight="false" outlineLevel="0" collapsed="false">
      <c r="A58" s="9" t="s">
        <v>245</v>
      </c>
      <c r="B58" s="24"/>
      <c r="C58" s="24"/>
      <c r="D58" s="24"/>
      <c r="E58" s="24"/>
    </row>
    <row r="59" customFormat="false" ht="15" hidden="false" customHeight="false" outlineLevel="0" collapsed="false">
      <c r="A59" s="9" t="s">
        <v>246</v>
      </c>
      <c r="B59" s="24"/>
      <c r="C59" s="24"/>
      <c r="D59" s="24"/>
      <c r="E59" s="24"/>
    </row>
  </sheetData>
  <mergeCells count="13">
    <mergeCell ref="A1:E1"/>
    <mergeCell ref="A9:E9"/>
    <mergeCell ref="A15:E15"/>
    <mergeCell ref="A21:E21"/>
    <mergeCell ref="A33:E33"/>
    <mergeCell ref="A41:E41"/>
    <mergeCell ref="A53:E53"/>
    <mergeCell ref="B54:E54"/>
    <mergeCell ref="B55:E55"/>
    <mergeCell ref="B56:E56"/>
    <mergeCell ref="B57:E57"/>
    <mergeCell ref="B58:E58"/>
    <mergeCell ref="B59:E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2026-04-10T22:32:39Z</dcterms:created>
  <dc:creator>openpyxl</dc:creator>
  <dc:description/>
  <dc:language>en-US</dc:language>
  <cp:lastModifiedBy/>
  <dcterms:modified xsi:type="dcterms:W3CDTF">2026-04-10T22:32:40Z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